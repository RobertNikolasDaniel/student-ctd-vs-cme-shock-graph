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13E9D3BB-8450-4B61-9BDE-E1FA0C57C335}" xr6:coauthVersionLast="47" xr6:coauthVersionMax="47" xr10:uidLastSave="{00000000-0000-0000-0000-000000000000}"/>
  <bookViews>
    <workbookView xWindow="-120" yWindow="-120" windowWidth="29040" windowHeight="15720" xr2:uid="{495DAA73-296C-4876-8275-176C895CC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  <c r="B11" i="1"/>
  <c r="B10" i="1"/>
  <c r="B9" i="1"/>
  <c r="D3" i="1"/>
  <c r="C15" i="1" s="1"/>
  <c r="C16" i="1" l="1"/>
  <c r="C9" i="1"/>
  <c r="C11" i="1"/>
  <c r="C10" i="1"/>
  <c r="C12" i="1"/>
  <c r="C17" i="1"/>
  <c r="C18" i="1"/>
  <c r="C19" i="1"/>
  <c r="C13" i="1"/>
  <c r="C14" i="1"/>
</calcChain>
</file>

<file path=xl/sharedStrings.xml><?xml version="1.0" encoding="utf-8"?>
<sst xmlns="http://schemas.openxmlformats.org/spreadsheetml/2006/main" count="13" uniqueCount="13">
  <si>
    <t>student-ctd-vs-cme-shock-graph</t>
  </si>
  <si>
    <t xml:space="preserve">     </t>
  </si>
  <si>
    <t>MOD</t>
  </si>
  <si>
    <t xml:space="preserve">CONVEXITY </t>
  </si>
  <si>
    <t>CTD INPUTS</t>
  </si>
  <si>
    <t>CF</t>
  </si>
  <si>
    <t>CME OUTPUT</t>
  </si>
  <si>
    <t>FUT CONVEXITY</t>
  </si>
  <si>
    <t>SHOCK TABLE (input bps)</t>
  </si>
  <si>
    <t>CTD C PRICE</t>
  </si>
  <si>
    <t>CME C PRICE</t>
  </si>
  <si>
    <t>HYP PAR (assumed both for model)</t>
  </si>
  <si>
    <t>NOTE: This model uses the Hypothetical Par Vlalue to price BOTH the CTD and Futures, this is not how markets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</si>
</sst>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3" borderId="0" xfId="0" applyFont="1" applyFill="1"/>
    <xf numFmtId="0" fontId="0" fillId="6" borderId="0" xfId="0" applyFill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CME</a:t>
            </a:r>
            <a:r>
              <a:rPr lang="en-US" baseline="0"/>
              <a:t> Convexity vs CTD Convexity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cash ctd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Sheet1!$A$9:$A$19</c:f>
              <c:numCache>
                <c:formatCode>General</c:formatCode>
                <c:ptCount val="11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-10</c:v>
                </c:pt>
                <c:pt idx="7">
                  <c:v>-20</c:v>
                </c:pt>
                <c:pt idx="8">
                  <c:v>-30</c:v>
                </c:pt>
                <c:pt idx="9">
                  <c:v>-40</c:v>
                </c:pt>
                <c:pt idx="10">
                  <c:v>-50</c:v>
                </c:pt>
              </c:numCache>
            </c:numRef>
          </c:xVal>
          <c:yVal>
            <c:numRef>
              <c:f>Sheet1!$B$9:$B$19</c:f>
              <c:numCache>
                <c:formatCode>General</c:formatCode>
                <c:ptCount val="11"/>
                <c:pt idx="0">
                  <c:v>99.125</c:v>
                </c:pt>
                <c:pt idx="1">
                  <c:v>98.8</c:v>
                </c:pt>
                <c:pt idx="2">
                  <c:v>98.724999999999994</c:v>
                </c:pt>
                <c:pt idx="3">
                  <c:v>98.9</c:v>
                </c:pt>
                <c:pt idx="4">
                  <c:v>99.325000000000003</c:v>
                </c:pt>
                <c:pt idx="5">
                  <c:v>100</c:v>
                </c:pt>
                <c:pt idx="6">
                  <c:v>100.925</c:v>
                </c:pt>
                <c:pt idx="7">
                  <c:v>102.1</c:v>
                </c:pt>
                <c:pt idx="8">
                  <c:v>103.52500000000001</c:v>
                </c:pt>
                <c:pt idx="9">
                  <c:v>105.2</c:v>
                </c:pt>
                <c:pt idx="10">
                  <c:v>107.125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AF-4E6A-85E5-BCCB32F069D7}"/>
            </c:ext>
          </c:extLst>
        </c:ser>
        <c:ser>
          <c:idx val="1"/>
          <c:order val="1"/>
          <c:tx>
            <c:v>cme futures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Sheet1!$A$9:$A$19</c:f>
              <c:numCache>
                <c:formatCode>General</c:formatCode>
                <c:ptCount val="11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-10</c:v>
                </c:pt>
                <c:pt idx="7">
                  <c:v>-20</c:v>
                </c:pt>
                <c:pt idx="8">
                  <c:v>-30</c:v>
                </c:pt>
                <c:pt idx="9">
                  <c:v>-40</c:v>
                </c:pt>
                <c:pt idx="10">
                  <c:v>-50</c:v>
                </c:pt>
              </c:numCache>
            </c:numRef>
          </c:xVal>
          <c:yVal>
            <c:numRef>
              <c:f>Sheet1!$C$9:$C$19</c:f>
              <c:numCache>
                <c:formatCode>General</c:formatCode>
                <c:ptCount val="11"/>
                <c:pt idx="0">
                  <c:v>100.62962962962962</c:v>
                </c:pt>
                <c:pt idx="1">
                  <c:v>99.762962962962959</c:v>
                </c:pt>
                <c:pt idx="2">
                  <c:v>99.266666666666666</c:v>
                </c:pt>
                <c:pt idx="3">
                  <c:v>99.140740740740739</c:v>
                </c:pt>
                <c:pt idx="4">
                  <c:v>99.385185185185193</c:v>
                </c:pt>
                <c:pt idx="5">
                  <c:v>100</c:v>
                </c:pt>
                <c:pt idx="6">
                  <c:v>100.98518518518517</c:v>
                </c:pt>
                <c:pt idx="7">
                  <c:v>102.34074074074073</c:v>
                </c:pt>
                <c:pt idx="8">
                  <c:v>104.06666666666666</c:v>
                </c:pt>
                <c:pt idx="9">
                  <c:v>106.16296296296296</c:v>
                </c:pt>
                <c:pt idx="10">
                  <c:v>108.62962962962963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AF-4E6A-85E5-BCCB32F06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7743"/>
        <c:axId val="62094863"/>
      </c:scatterChart>
      <c:valAx>
        <c:axId val="6209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Shock</a:t>
                </a:r>
                <a:r>
                  <a:rPr lang="en-US" baseline="0"/>
                  <a:t> in basis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4863"/>
        <c:crosses val="autoZero"/>
        <c:crossBetween val="midCat"/>
      </c:valAx>
      <c:valAx>
        <c:axId val="620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HYpothetical</a:t>
                </a:r>
                <a:r>
                  <a:rPr lang="en-US" baseline="0"/>
                  <a:t>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7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97402725667806"/>
          <c:y val="0.92670731477261781"/>
          <c:w val="0.37600680575211753"/>
          <c:h val="6.0683233698808854E-2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201082</xdr:colOff>
      <xdr:row>1</xdr:row>
      <xdr:rowOff>200023</xdr:rowOff>
    </xdr:from>
    <xdr:to>
      <xdr:col>16</xdr:col>
      <xdr:colOff>52917</xdr:colOff>
      <xdr:row>18</xdr:row>
      <xdr:rowOff>137584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0392A-1E31-FA1A-46B5-20FD9B76D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52E2-ED10-45BF-9AD5-1E9DD3F5E2B9}">
  <dimension ref="A1:E19"/>
  <sheetViews>
    <sheetView tabSelected="1" topLeftCell="A2" zoomScaleNormal="100" workbookViewId="0">
      <selection activeCell="S17" sqref="S17"/>
    </sheetView>
  </sheetViews>
  <sheetFormatPr defaultRowHeight="15" x14ac:dyDescent="0.25"/>
  <cols>
    <col min="1" max="1" width="33.140625" customWidth="1"/>
    <col min="2" max="2" width="15.7109375" customWidth="1"/>
    <col min="3" max="3" width="15.42578125" customWidth="1"/>
    <col min="4" max="4" width="15.5703125" customWidth="1"/>
    <col min="5" max="5" width="35.28515625" customWidth="1"/>
  </cols>
  <sheetData>
    <row r="1" spans="1:5" ht="48.75" customHeight="1" x14ac:dyDescent="0.25">
      <c r="A1" s="1" t="s">
        <v>0</v>
      </c>
      <c r="E1" s="8" t="s">
        <v>12</v>
      </c>
    </row>
    <row r="2" spans="1:5" ht="32.25" customHeight="1" x14ac:dyDescent="0.25">
      <c r="A2" s="3" t="s">
        <v>4</v>
      </c>
      <c r="C2" s="5" t="s">
        <v>6</v>
      </c>
      <c r="D2" s="4"/>
    </row>
    <row r="3" spans="1:5" ht="24.75" customHeight="1" x14ac:dyDescent="0.25">
      <c r="A3" t="s">
        <v>11</v>
      </c>
      <c r="B3" s="2">
        <v>100</v>
      </c>
      <c r="C3" t="s">
        <v>7</v>
      </c>
      <c r="D3" s="7">
        <f>B5/B6</f>
        <v>3703.7037037037035</v>
      </c>
      <c r="E3" s="4"/>
    </row>
    <row r="4" spans="1:5" ht="23.25" customHeight="1" x14ac:dyDescent="0.25">
      <c r="A4" t="s">
        <v>2</v>
      </c>
      <c r="B4" s="2">
        <v>8</v>
      </c>
      <c r="C4" t="s">
        <v>1</v>
      </c>
    </row>
    <row r="5" spans="1:5" ht="25.5" customHeight="1" x14ac:dyDescent="0.25">
      <c r="A5" t="s">
        <v>3</v>
      </c>
      <c r="B5" s="2">
        <v>2500</v>
      </c>
    </row>
    <row r="6" spans="1:5" ht="29.25" customHeight="1" x14ac:dyDescent="0.25">
      <c r="A6" s="4" t="s">
        <v>5</v>
      </c>
      <c r="B6" s="2">
        <v>0.67500000000000004</v>
      </c>
    </row>
    <row r="7" spans="1:5" ht="29.25" customHeight="1" x14ac:dyDescent="0.25"/>
    <row r="8" spans="1:5" ht="34.5" customHeight="1" x14ac:dyDescent="0.25">
      <c r="A8" s="3" t="s">
        <v>8</v>
      </c>
      <c r="B8" s="5" t="s">
        <v>9</v>
      </c>
      <c r="C8" s="5" t="s">
        <v>10</v>
      </c>
    </row>
    <row r="9" spans="1:5" ht="26.25" customHeight="1" x14ac:dyDescent="0.25">
      <c r="A9" s="6">
        <v>50</v>
      </c>
      <c r="B9" s="7">
        <f>B3*(1-B4*(A9/10000)+(1/2)*B5*((A9/10000)^2))</f>
        <v>99.125</v>
      </c>
      <c r="C9" s="7">
        <f>B3*(1-B4*(A9/10000)+(1/2)*D3*((A9/10000)^2))</f>
        <v>100.62962962962962</v>
      </c>
    </row>
    <row r="10" spans="1:5" ht="23.25" customHeight="1" x14ac:dyDescent="0.25">
      <c r="A10" s="2">
        <v>40</v>
      </c>
      <c r="B10" s="7">
        <f>B3*(1-B4*(A10/10000)+(1/2)*B5*((A10/10000)^2))</f>
        <v>98.8</v>
      </c>
      <c r="C10" s="7">
        <f>B3*(1-B4*(A10/10000)+(1/2)*D3*((A10/10000)^2))</f>
        <v>99.762962962962959</v>
      </c>
    </row>
    <row r="11" spans="1:5" ht="30" customHeight="1" x14ac:dyDescent="0.25">
      <c r="A11" s="2">
        <v>30</v>
      </c>
      <c r="B11" s="7">
        <f>B3*(1-B4*(A11/10000)+(1/2)*B5*((A11/10000)^2))</f>
        <v>98.724999999999994</v>
      </c>
      <c r="C11" s="7">
        <f>B3*(1-B4*(A11/10000)+(1/2)*D3*((A11/10000)^2))</f>
        <v>99.266666666666666</v>
      </c>
    </row>
    <row r="12" spans="1:5" ht="28.5" customHeight="1" x14ac:dyDescent="0.25">
      <c r="A12" s="2">
        <v>20</v>
      </c>
      <c r="B12" s="7">
        <f>B3*(1-B4*(A12/10000)+(1/2)*B5*((A12/10000)^2))</f>
        <v>98.9</v>
      </c>
      <c r="C12" s="7">
        <f>B3*(1-B4*(A12/10000)+(1/2)*D3*((A12/10000)^2))</f>
        <v>99.140740740740739</v>
      </c>
    </row>
    <row r="13" spans="1:5" ht="30.75" customHeight="1" x14ac:dyDescent="0.25">
      <c r="A13" s="2">
        <v>10</v>
      </c>
      <c r="B13" s="7">
        <f>B3*(1-B4*(A13/10000)+(1/2)*B5*((A13/10000)^2))</f>
        <v>99.325000000000003</v>
      </c>
      <c r="C13" s="7">
        <f>B3*(1-B4*(A13/10000)+(1/2)*D3*((A13/10000)^2))</f>
        <v>99.385185185185193</v>
      </c>
    </row>
    <row r="14" spans="1:5" ht="28.5" customHeight="1" x14ac:dyDescent="0.25">
      <c r="A14" s="2">
        <v>0</v>
      </c>
      <c r="B14" s="7">
        <f>B3*(1-B4*(A14/10000)+(1/2)*B5*((A14/10000)^2))</f>
        <v>100</v>
      </c>
      <c r="C14" s="7">
        <f>B3*(1-B4*(A14/10000)+(1/2)*D3*((A14/10000)^2))</f>
        <v>100</v>
      </c>
    </row>
    <row r="15" spans="1:5" ht="26.25" customHeight="1" x14ac:dyDescent="0.25">
      <c r="A15" s="2">
        <v>-10</v>
      </c>
      <c r="B15" s="7">
        <f>B3*(1-B4*(A15/10000)+(1/2)*B5*((A15/10000)^2))</f>
        <v>100.925</v>
      </c>
      <c r="C15" s="7">
        <f>B3*(1-B4*(A15/10000)+(1/2)*D3*((A15/10000)^2))</f>
        <v>100.98518518518517</v>
      </c>
    </row>
    <row r="16" spans="1:5" ht="27.75" customHeight="1" x14ac:dyDescent="0.25">
      <c r="A16" s="2">
        <v>-20</v>
      </c>
      <c r="B16" s="7">
        <f>B3*(1-B4*(A16/10000)+(1/2)*B5*((A16/10000)^2))</f>
        <v>102.1</v>
      </c>
      <c r="C16" s="7">
        <f>B3*(1-B4*(A16/10000)+(1/2)*D3*((A16/10000)^2))</f>
        <v>102.34074074074073</v>
      </c>
    </row>
    <row r="17" spans="1:3" ht="30" customHeight="1" x14ac:dyDescent="0.25">
      <c r="A17" s="2">
        <v>-30</v>
      </c>
      <c r="B17" s="7">
        <f>B3*(1-B4*(A17/10000)+(1/2)*B5*((A17/10000)^2))</f>
        <v>103.52500000000001</v>
      </c>
      <c r="C17" s="7">
        <f>B3*(1-B4*(A17/10000)+(1/2)*D3*((A17/10000)^2))</f>
        <v>104.06666666666666</v>
      </c>
    </row>
    <row r="18" spans="1:3" ht="30.75" customHeight="1" x14ac:dyDescent="0.25">
      <c r="A18" s="2">
        <v>-40</v>
      </c>
      <c r="B18" s="7">
        <f>B3*(1-B4*(A18/10000)+(1/2)*B5*((A18/10000)^2))</f>
        <v>105.2</v>
      </c>
      <c r="C18" s="7">
        <f>B3*(1-B4*(A18/10000)+(1/2)*D3*((A18/10000)^2))</f>
        <v>106.16296296296296</v>
      </c>
    </row>
    <row r="19" spans="1:3" ht="26.25" customHeight="1" x14ac:dyDescent="0.25">
      <c r="A19" s="2">
        <v>-50</v>
      </c>
      <c r="B19" s="7">
        <f>B3*(1-B4*(A19/10000)+(1/2)*B5*((A19/10000)^2))</f>
        <v>107.125</v>
      </c>
      <c r="C19" s="7">
        <f>B3*(1-B4*(A19/10000)+(1/2)*D3*((A19/10000)^2))</f>
        <v>108.62962962962963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8BB0C7-C7EA-43D4-BD3A-0460F010A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53C8C2-CD30-4483-801E-322341A3B9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05B32-7172-4099-A526-75B5404861CA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a22a689-7505-4716-b802-371d38c763eb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2026-05-26T18:54:30Z</dcterms:created>
  <dcterms:modified xsi:type="dcterms:W3CDTF">2026-05-26T20:59:34Z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